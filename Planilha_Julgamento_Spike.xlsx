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Julgamento" sheetId="2" state="visible" r:id="rId4"/>
    <sheet name="Resum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<sst xmlns="http://schemas.openxmlformats.org/spreadsheetml/2006/main" count="58" uniqueCount="53">
  <si>
    <t xml:space="preserve">Planilha de julgamento — spike de seleção de Shorts</t>
  </si>
  <si>
    <t xml:space="preserve">Objetivo: provar que o modelo NÃO apresenta como bom um trecho teologicamente quebrado.</t>
  </si>
  <si>
    <t xml:space="preserve">Como usar:</t>
  </si>
  <si>
    <t xml:space="preserve">1. Rode o prompt de seleção em 5 sermões reais (inclua os difíceis: posição refutada, muita citação bíblica, ressalvas).</t>
  </si>
  <si>
    <t xml:space="preserve">2. Para cada candidato que o modelo devolver, preencha UMA linha na aba 'Julgamento'.</t>
  </si>
  <si>
    <t xml:space="preserve">3. As colunas amarelas são as que você preenche. As colunas do modelo (fidelidade e total) copie do JSON.</t>
  </si>
  <si>
    <t xml:space="preserve">4. O julgamento do pastor é o que decide: a última pergunta, 'PUBLICARIA?', é o veredito.</t>
  </si>
  <si>
    <t xml:space="preserve">   Dica: julgue olhando o trecho, sem se deixar levar pela nota que o modelo deu.</t>
  </si>
  <si>
    <t xml:space="preserve">5. Na aba 'Resumo', digite o nome de cada sermão testado. O resto é calculado sozinho.</t>
  </si>
  <si>
    <t xml:space="preserve">Como ler o resultado (aba Resumo):</t>
  </si>
  <si>
    <t xml:space="preserve">• % de sermões com pelo menos 1 candidato aprovado — casa com o MVP (basta 1 bom Short por culto).</t>
  </si>
  <si>
    <t xml:space="preserve">• Violações RN-027 que apareceram como candidato nº 1 — o erro mais grave. O ideal é ZERO.</t>
  </si>
  <si>
    <t xml:space="preserve">• Média de fidelidade: aprovados vs. reprovados — se os aprovados têm fidelidade claramente maior,</t>
  </si>
  <si>
    <t xml:space="preserve">  a nota do modelo é confiável e o veto da RN-029 funciona. Se estão parecidas, o veto não serve.</t>
  </si>
  <si>
    <t xml:space="preserve">Regra de ouro: preencha o 'Critério de corte' na aba Resumo ANTES de rodar o teste.</t>
  </si>
  <si>
    <t xml:space="preserve">Antes de usar com dados reais: a aba 'Julgamento' tem UMA linha de exemplo (cinza). Apague-a.</t>
  </si>
  <si>
    <t xml:space="preserve">Sermão</t>
  </si>
  <si>
    <t xml:space="preserve">Cand. nº</t>
  </si>
  <si>
    <t xml:space="preserve">Início–Fim</t>
  </si>
  <si>
    <t xml:space="preserve">Hook (frase inicial)</t>
  </si>
  <si>
    <t xml:space="preserve">Fidelidade
(modelo, 0-30)</t>
  </si>
  <si>
    <t xml:space="preserve">Total
(modelo, 0-100)</t>
  </si>
  <si>
    <t xml:space="preserve">RN-026
Citação bíblica OK?</t>
  </si>
  <si>
    <t xml:space="preserve">RN-027
Não é posição refutada?</t>
  </si>
  <si>
    <t xml:space="preserve">RN-028
Ressalvas preservadas?</t>
  </si>
  <si>
    <t xml:space="preserve">Completo e
compreensível isolado?</t>
  </si>
  <si>
    <t xml:space="preserve">Timestamps
corretos?</t>
  </si>
  <si>
    <t xml:space="preserve">PUBLICARIA?</t>
  </si>
  <si>
    <t xml:space="preserve">Observações</t>
  </si>
  <si>
    <t xml:space="preserve">EXEMPLO — Fé e obras</t>
  </si>
  <si>
    <t xml:space="preserve">00:12:04.200–00:12:58.900</t>
  </si>
  <si>
    <t xml:space="preserve">Você acha que suas obras te salvam?</t>
  </si>
  <si>
    <t xml:space="preserve">Sim</t>
  </si>
  <si>
    <t xml:space="preserve">Não</t>
  </si>
  <si>
    <t xml:space="preserve">Cortou o 'mas' — virou 'suas obras te salvam'. Posição refutada sem a refutação (RN-027).</t>
  </si>
  <si>
    <t xml:space="preserve">Resumo do spike</t>
  </si>
  <si>
    <t xml:space="preserve">Por sermão  (digite o nome EXATO como está na aba Julgamento)</t>
  </si>
  <si>
    <t xml:space="preserve">Candidatos julgados</t>
  </si>
  <si>
    <t xml:space="preserve">Aprovados</t>
  </si>
  <si>
    <t xml:space="preserve">Tem ≥1 aprovado?</t>
  </si>
  <si>
    <t xml:space="preserve">Violação RN-027 no nº 1?</t>
  </si>
  <si>
    <t xml:space="preserve">Resumo global</t>
  </si>
  <si>
    <t xml:space="preserve">Sermões testados</t>
  </si>
  <si>
    <t xml:space="preserve">Sermões com ≥1 aprovado</t>
  </si>
  <si>
    <t xml:space="preserve">% com ≥1 aprovado</t>
  </si>
  <si>
    <t xml:space="preserve">Violações RN-027 como candidato nº 1</t>
  </si>
  <si>
    <t xml:space="preserve">Média de fidelidade — APROVADOS</t>
  </si>
  <si>
    <t xml:space="preserve">Média de fidelidade — REPROVADOS</t>
  </si>
  <si>
    <t xml:space="preserve">Critério de corte  (defina ANTES de rodar o teste)</t>
  </si>
  <si>
    <t xml:space="preserve">Mín. de sermões com ≥1 aprovado</t>
  </si>
  <si>
    <t xml:space="preserve">Máx. de violações RN-027 como nº 1</t>
  </si>
  <si>
    <t xml:space="preserve">VEREDITO</t>
  </si>
  <si>
    <t xml:space="preserve">Leitura da fidelidade: se a média dos APROVADOS for claramente maior que a dos REPROVADOS, a nota do modelo é confiável e o veto da RN-029 funciona.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</si>
</sst>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F4858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F485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A7A7A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2F4858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4858"/>
        <bgColor rgb="FF333399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7A7A"/>
      <rgbColor rgb="FF9999FF"/>
      <rgbColor rgb="FF993366"/>
      <rgbColor rgb="FFFFF6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85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10" min="8" style="0" width="14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34"/>
  </cols>
  <sheetData>
    <row r="1" customFormat="false" ht="42" hidden="false" customHeight="true" outlineLevel="0" collapsed="false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</row>
    <row r="2" customFormat="false" ht="35.05" hidden="false" customHeight="false" outlineLevel="0" collapsed="false">
      <c r="A2" s="5" t="s">
        <v>29</v>
      </c>
      <c r="B2" s="5" t="n">
        <v>1</v>
      </c>
      <c r="C2" s="5" t="s">
        <v>30</v>
      </c>
      <c r="D2" s="6" t="s">
        <v>31</v>
      </c>
      <c r="E2" s="5" t="n">
        <v>12</v>
      </c>
      <c r="F2" s="5" t="n">
        <v>71</v>
      </c>
      <c r="G2" s="5" t="s">
        <v>32</v>
      </c>
      <c r="H2" s="5" t="s">
        <v>33</v>
      </c>
      <c r="I2" s="5" t="s">
        <v>32</v>
      </c>
      <c r="J2" s="5" t="s">
        <v>32</v>
      </c>
      <c r="K2" s="5" t="s">
        <v>32</v>
      </c>
      <c r="L2" s="5" t="s">
        <v>33</v>
      </c>
      <c r="M2" s="6" t="s">
        <v>34</v>
      </c>
    </row>
    <row r="3" customFormat="false" ht="15" hidden="false" customHeight="false" outlineLevel="0" collapsed="false">
      <c r="A3" s="7"/>
      <c r="B3" s="7"/>
      <c r="C3" s="7"/>
      <c r="D3" s="8"/>
      <c r="E3" s="7"/>
      <c r="F3" s="7"/>
      <c r="G3" s="7"/>
      <c r="H3" s="7"/>
      <c r="I3" s="7"/>
      <c r="J3" s="7"/>
      <c r="K3" s="7"/>
      <c r="L3" s="7"/>
      <c r="M3" s="8"/>
    </row>
    <row r="4" customFormat="false" ht="15" hidden="false" customHeight="false" outlineLevel="0" collapsed="false">
      <c r="A4" s="7"/>
      <c r="B4" s="7"/>
      <c r="C4" s="7"/>
      <c r="D4" s="8"/>
      <c r="E4" s="7"/>
      <c r="F4" s="7"/>
      <c r="G4" s="7"/>
      <c r="H4" s="7"/>
      <c r="I4" s="7"/>
      <c r="J4" s="7"/>
      <c r="K4" s="7"/>
      <c r="L4" s="7"/>
      <c r="M4" s="8"/>
    </row>
    <row r="5" customFormat="false" ht="15" hidden="false" customHeight="false" outlineLevel="0" collapsed="false">
      <c r="A5" s="7"/>
      <c r="B5" s="7"/>
      <c r="C5" s="7"/>
      <c r="D5" s="8"/>
      <c r="E5" s="7"/>
      <c r="F5" s="7"/>
      <c r="G5" s="7"/>
      <c r="H5" s="7"/>
      <c r="I5" s="7"/>
      <c r="J5" s="7"/>
      <c r="K5" s="7"/>
      <c r="L5" s="7"/>
      <c r="M5" s="8"/>
    </row>
    <row r="6" customFormat="false" ht="15" hidden="false" customHeight="false" outlineLevel="0" collapsed="false">
      <c r="A6" s="7"/>
      <c r="B6" s="7"/>
      <c r="C6" s="7"/>
      <c r="D6" s="8"/>
      <c r="E6" s="7"/>
      <c r="F6" s="7"/>
      <c r="G6" s="7"/>
      <c r="H6" s="7"/>
      <c r="I6" s="7"/>
      <c r="J6" s="7"/>
      <c r="K6" s="7"/>
      <c r="L6" s="7"/>
      <c r="M6" s="8"/>
    </row>
    <row r="7" customFormat="false" ht="15" hidden="false" customHeight="false" outlineLevel="0" collapsed="false">
      <c r="A7" s="7"/>
      <c r="B7" s="7"/>
      <c r="C7" s="7"/>
      <c r="D7" s="8"/>
      <c r="E7" s="7"/>
      <c r="F7" s="7"/>
      <c r="G7" s="7"/>
      <c r="H7" s="7"/>
      <c r="I7" s="7"/>
      <c r="J7" s="7"/>
      <c r="K7" s="7"/>
      <c r="L7" s="7"/>
      <c r="M7" s="8"/>
    </row>
    <row r="8" customFormat="false" ht="15" hidden="false" customHeight="false" outlineLevel="0" collapsed="false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7"/>
      <c r="M8" s="8"/>
    </row>
    <row r="9" customFormat="false" ht="15" hidden="false" customHeight="false" outlineLevel="0" collapsed="false">
      <c r="A9" s="7"/>
      <c r="B9" s="7"/>
      <c r="C9" s="7"/>
      <c r="D9" s="8"/>
      <c r="E9" s="7"/>
      <c r="F9" s="7"/>
      <c r="G9" s="7"/>
      <c r="H9" s="7"/>
      <c r="I9" s="7"/>
      <c r="J9" s="7"/>
      <c r="K9" s="7"/>
      <c r="L9" s="7"/>
      <c r="M9" s="8"/>
    </row>
    <row r="10" customFormat="false" ht="15" hidden="false" customHeight="false" outlineLevel="0" collapsed="false">
      <c r="A10" s="7"/>
      <c r="B10" s="7"/>
      <c r="C10" s="7"/>
      <c r="D10" s="8"/>
      <c r="E10" s="7"/>
      <c r="F10" s="7"/>
      <c r="G10" s="7"/>
      <c r="H10" s="7"/>
      <c r="I10" s="7"/>
      <c r="J10" s="7"/>
      <c r="K10" s="7"/>
      <c r="L10" s="7"/>
      <c r="M10" s="8"/>
    </row>
    <row r="11" customFormat="false" ht="15" hidden="false" customHeight="false" outlineLevel="0" collapsed="false">
      <c r="A11" s="7"/>
      <c r="B11" s="7"/>
      <c r="C11" s="7"/>
      <c r="D11" s="8"/>
      <c r="E11" s="7"/>
      <c r="F11" s="7"/>
      <c r="G11" s="7"/>
      <c r="H11" s="7"/>
      <c r="I11" s="7"/>
      <c r="J11" s="7"/>
      <c r="K11" s="7"/>
      <c r="L11" s="7"/>
      <c r="M11" s="8"/>
    </row>
    <row r="12" customFormat="false" ht="15" hidden="false" customHeight="false" outlineLevel="0" collapsed="false">
      <c r="A12" s="7"/>
      <c r="B12" s="7"/>
      <c r="C12" s="7"/>
      <c r="D12" s="8"/>
      <c r="E12" s="7"/>
      <c r="F12" s="7"/>
      <c r="G12" s="7"/>
      <c r="H12" s="7"/>
      <c r="I12" s="7"/>
      <c r="J12" s="7"/>
      <c r="K12" s="7"/>
      <c r="L12" s="7"/>
      <c r="M12" s="8"/>
    </row>
    <row r="13" customFormat="false" ht="15" hidden="false" customHeight="false" outlineLevel="0" collapsed="false">
      <c r="A13" s="7"/>
      <c r="B13" s="7"/>
      <c r="C13" s="7"/>
      <c r="D13" s="8"/>
      <c r="E13" s="7"/>
      <c r="F13" s="7"/>
      <c r="G13" s="7"/>
      <c r="H13" s="7"/>
      <c r="I13" s="7"/>
      <c r="J13" s="7"/>
      <c r="K13" s="7"/>
      <c r="L13" s="7"/>
      <c r="M13" s="8"/>
    </row>
    <row r="14" customFormat="false" ht="15" hidden="false" customHeight="false" outlineLevel="0" collapsed="false">
      <c r="A14" s="7"/>
      <c r="B14" s="7"/>
      <c r="C14" s="7"/>
      <c r="D14" s="8"/>
      <c r="E14" s="7"/>
      <c r="F14" s="7"/>
      <c r="G14" s="7"/>
      <c r="H14" s="7"/>
      <c r="I14" s="7"/>
      <c r="J14" s="7"/>
      <c r="K14" s="7"/>
      <c r="L14" s="7"/>
      <c r="M14" s="8"/>
    </row>
    <row r="15" customFormat="false" ht="15" hidden="false" customHeight="false" outlineLevel="0" collapsed="false">
      <c r="A15" s="7"/>
      <c r="B15" s="7"/>
      <c r="C15" s="7"/>
      <c r="D15" s="8"/>
      <c r="E15" s="7"/>
      <c r="F15" s="7"/>
      <c r="G15" s="7"/>
      <c r="H15" s="7"/>
      <c r="I15" s="7"/>
      <c r="J15" s="7"/>
      <c r="K15" s="7"/>
      <c r="L15" s="7"/>
      <c r="M15" s="8"/>
    </row>
    <row r="16" customFormat="false" ht="15" hidden="false" customHeight="false" outlineLevel="0" collapsed="false">
      <c r="A16" s="7"/>
      <c r="B16" s="7"/>
      <c r="C16" s="7"/>
      <c r="D16" s="8"/>
      <c r="E16" s="7"/>
      <c r="F16" s="7"/>
      <c r="G16" s="7"/>
      <c r="H16" s="7"/>
      <c r="I16" s="7"/>
      <c r="J16" s="7"/>
      <c r="K16" s="7"/>
      <c r="L16" s="7"/>
      <c r="M16" s="8"/>
    </row>
    <row r="17" customFormat="false" ht="15" hidden="false" customHeight="false" outlineLevel="0" collapsed="false">
      <c r="A17" s="7"/>
      <c r="B17" s="7"/>
      <c r="C17" s="7"/>
      <c r="D17" s="8"/>
      <c r="E17" s="7"/>
      <c r="F17" s="7"/>
      <c r="G17" s="7"/>
      <c r="H17" s="7"/>
      <c r="I17" s="7"/>
      <c r="J17" s="7"/>
      <c r="K17" s="7"/>
      <c r="L17" s="7"/>
      <c r="M17" s="8"/>
    </row>
    <row r="18" customFormat="false" ht="15" hidden="false" customHeight="false" outlineLevel="0" collapsed="false">
      <c r="A18" s="7"/>
      <c r="B18" s="7"/>
      <c r="C18" s="7"/>
      <c r="D18" s="8"/>
      <c r="E18" s="7"/>
      <c r="F18" s="7"/>
      <c r="G18" s="7"/>
      <c r="H18" s="7"/>
      <c r="I18" s="7"/>
      <c r="J18" s="7"/>
      <c r="K18" s="7"/>
      <c r="L18" s="7"/>
      <c r="M18" s="8"/>
    </row>
    <row r="19" customFormat="false" ht="15" hidden="false" customHeight="false" outlineLevel="0" collapsed="false">
      <c r="A19" s="7"/>
      <c r="B19" s="7"/>
      <c r="C19" s="7"/>
      <c r="D19" s="8"/>
      <c r="E19" s="7"/>
      <c r="F19" s="7"/>
      <c r="G19" s="7"/>
      <c r="H19" s="7"/>
      <c r="I19" s="7"/>
      <c r="J19" s="7"/>
      <c r="K19" s="7"/>
      <c r="L19" s="7"/>
      <c r="M19" s="8"/>
    </row>
    <row r="20" customFormat="false" ht="15" hidden="false" customHeight="false" outlineLevel="0" collapsed="false">
      <c r="A20" s="7"/>
      <c r="B20" s="7"/>
      <c r="C20" s="7"/>
      <c r="D20" s="8"/>
      <c r="E20" s="7"/>
      <c r="F20" s="7"/>
      <c r="G20" s="7"/>
      <c r="H20" s="7"/>
      <c r="I20" s="7"/>
      <c r="J20" s="7"/>
      <c r="K20" s="7"/>
      <c r="L20" s="7"/>
      <c r="M20" s="8"/>
    </row>
    <row r="21" customFormat="false" ht="15" hidden="false" customHeight="false" outlineLevel="0" collapsed="false">
      <c r="A21" s="7"/>
      <c r="B21" s="7"/>
      <c r="C21" s="7"/>
      <c r="D21" s="8"/>
      <c r="E21" s="7"/>
      <c r="F21" s="7"/>
      <c r="G21" s="7"/>
      <c r="H21" s="7"/>
      <c r="I21" s="7"/>
      <c r="J21" s="7"/>
      <c r="K21" s="7"/>
      <c r="L21" s="7"/>
      <c r="M21" s="8"/>
    </row>
    <row r="22" customFormat="false" ht="15" hidden="false" customHeight="false" outlineLevel="0" collapsed="false">
      <c r="A22" s="7"/>
      <c r="B22" s="7"/>
      <c r="C22" s="7"/>
      <c r="D22" s="8"/>
      <c r="E22" s="7"/>
      <c r="F22" s="7"/>
      <c r="G22" s="7"/>
      <c r="H22" s="7"/>
      <c r="I22" s="7"/>
      <c r="J22" s="7"/>
      <c r="K22" s="7"/>
      <c r="L22" s="7"/>
      <c r="M22" s="8"/>
    </row>
    <row r="23" customFormat="false" ht="15" hidden="false" customHeight="false" outlineLevel="0" collapsed="false">
      <c r="A23" s="7"/>
      <c r="B23" s="7"/>
      <c r="C23" s="7"/>
      <c r="D23" s="8"/>
      <c r="E23" s="7"/>
      <c r="F23" s="7"/>
      <c r="G23" s="7"/>
      <c r="H23" s="7"/>
      <c r="I23" s="7"/>
      <c r="J23" s="7"/>
      <c r="K23" s="7"/>
      <c r="L23" s="7"/>
      <c r="M23" s="8"/>
    </row>
    <row r="24" customFormat="false" ht="15" hidden="false" customHeight="false" outlineLevel="0" collapsed="false">
      <c r="A24" s="7"/>
      <c r="B24" s="7"/>
      <c r="C24" s="7"/>
      <c r="D24" s="8"/>
      <c r="E24" s="7"/>
      <c r="F24" s="7"/>
      <c r="G24" s="7"/>
      <c r="H24" s="7"/>
      <c r="I24" s="7"/>
      <c r="J24" s="7"/>
      <c r="K24" s="7"/>
      <c r="L24" s="7"/>
      <c r="M24" s="8"/>
    </row>
    <row r="25" customFormat="false" ht="15" hidden="false" customHeight="false" outlineLevel="0" collapsed="false">
      <c r="A25" s="7"/>
      <c r="B25" s="7"/>
      <c r="C25" s="7"/>
      <c r="D25" s="8"/>
      <c r="E25" s="7"/>
      <c r="F25" s="7"/>
      <c r="G25" s="7"/>
      <c r="H25" s="7"/>
      <c r="I25" s="7"/>
      <c r="J25" s="7"/>
      <c r="K25" s="7"/>
      <c r="L25" s="7"/>
      <c r="M25" s="8"/>
    </row>
    <row r="26" customFormat="false" ht="15" hidden="false" customHeight="false" outlineLevel="0" collapsed="false">
      <c r="A26" s="7"/>
      <c r="B26" s="7"/>
      <c r="C26" s="7"/>
      <c r="D26" s="8"/>
      <c r="E26" s="7"/>
      <c r="F26" s="7"/>
      <c r="G26" s="7"/>
      <c r="H26" s="7"/>
      <c r="I26" s="7"/>
      <c r="J26" s="7"/>
      <c r="K26" s="7"/>
      <c r="L26" s="7"/>
      <c r="M26" s="8"/>
    </row>
    <row r="27" customFormat="false" ht="15" hidden="false" customHeight="false" outlineLevel="0" collapsed="false">
      <c r="A27" s="7"/>
      <c r="B27" s="7"/>
      <c r="C27" s="7"/>
      <c r="D27" s="8"/>
      <c r="E27" s="7"/>
      <c r="F27" s="7"/>
      <c r="G27" s="7"/>
      <c r="H27" s="7"/>
      <c r="I27" s="7"/>
      <c r="J27" s="7"/>
      <c r="K27" s="7"/>
      <c r="L27" s="7"/>
      <c r="M27" s="8"/>
    </row>
    <row r="28" customFormat="false" ht="15" hidden="false" customHeight="false" outlineLevel="0" collapsed="false">
      <c r="A28" s="7"/>
      <c r="B28" s="7"/>
      <c r="C28" s="7"/>
      <c r="D28" s="8"/>
      <c r="E28" s="7"/>
      <c r="F28" s="7"/>
      <c r="G28" s="7"/>
      <c r="H28" s="7"/>
      <c r="I28" s="7"/>
      <c r="J28" s="7"/>
      <c r="K28" s="7"/>
      <c r="L28" s="7"/>
      <c r="M28" s="8"/>
    </row>
    <row r="29" customFormat="false" ht="15" hidden="false" customHeight="false" outlineLevel="0" collapsed="false">
      <c r="A29" s="7"/>
      <c r="B29" s="7"/>
      <c r="C29" s="7"/>
      <c r="D29" s="8"/>
      <c r="E29" s="7"/>
      <c r="F29" s="7"/>
      <c r="G29" s="7"/>
      <c r="H29" s="7"/>
      <c r="I29" s="7"/>
      <c r="J29" s="7"/>
      <c r="K29" s="7"/>
      <c r="L29" s="7"/>
      <c r="M29" s="8"/>
    </row>
    <row r="30" customFormat="false" ht="15" hidden="false" customHeight="false" outlineLevel="0" collapsed="false">
      <c r="A30" s="7"/>
      <c r="B30" s="7"/>
      <c r="C30" s="7"/>
      <c r="D30" s="8"/>
      <c r="E30" s="7"/>
      <c r="F30" s="7"/>
      <c r="G30" s="7"/>
      <c r="H30" s="7"/>
      <c r="I30" s="7"/>
      <c r="J30" s="7"/>
      <c r="K30" s="7"/>
      <c r="L30" s="7"/>
      <c r="M30" s="8"/>
    </row>
    <row r="31" customFormat="false" ht="15" hidden="false" customHeight="false" outlineLevel="0" collapsed="false">
      <c r="A31" s="7"/>
      <c r="B31" s="7"/>
      <c r="C31" s="7"/>
      <c r="D31" s="8"/>
      <c r="E31" s="7"/>
      <c r="F31" s="7"/>
      <c r="G31" s="7"/>
      <c r="H31" s="7"/>
      <c r="I31" s="7"/>
      <c r="J31" s="7"/>
      <c r="K31" s="7"/>
      <c r="L31" s="7"/>
      <c r="M31" s="8"/>
    </row>
    <row r="32" customFormat="false" ht="15" hidden="false" customHeight="false" outlineLevel="0" collapsed="false">
      <c r="A32" s="7"/>
      <c r="B32" s="7"/>
      <c r="C32" s="7"/>
      <c r="D32" s="8"/>
      <c r="E32" s="7"/>
      <c r="F32" s="7"/>
      <c r="G32" s="7"/>
      <c r="H32" s="7"/>
      <c r="I32" s="7"/>
      <c r="J32" s="7"/>
      <c r="K32" s="7"/>
      <c r="L32" s="7"/>
      <c r="M32" s="8"/>
    </row>
    <row r="33" customFormat="false" ht="15" hidden="false" customHeight="false" outlineLevel="0" collapsed="false">
      <c r="A33" s="7"/>
      <c r="B33" s="7"/>
      <c r="C33" s="7"/>
      <c r="D33" s="8"/>
      <c r="E33" s="7"/>
      <c r="F33" s="7"/>
      <c r="G33" s="7"/>
      <c r="H33" s="7"/>
      <c r="I33" s="7"/>
      <c r="J33" s="7"/>
      <c r="K33" s="7"/>
      <c r="L33" s="7"/>
      <c r="M33" s="8"/>
    </row>
    <row r="34" customFormat="false" ht="15" hidden="false" customHeight="false" outlineLevel="0" collapsed="false">
      <c r="A34" s="7"/>
      <c r="B34" s="7"/>
      <c r="C34" s="7"/>
      <c r="D34" s="8"/>
      <c r="E34" s="7"/>
      <c r="F34" s="7"/>
      <c r="G34" s="7"/>
      <c r="H34" s="7"/>
      <c r="I34" s="7"/>
      <c r="J34" s="7"/>
      <c r="K34" s="7"/>
      <c r="L34" s="7"/>
      <c r="M34" s="8"/>
    </row>
    <row r="35" customFormat="false" ht="15" hidden="false" customHeight="false" outlineLevel="0" collapsed="false">
      <c r="A35" s="7"/>
      <c r="B35" s="7"/>
      <c r="C35" s="7"/>
      <c r="D35" s="8"/>
      <c r="E35" s="7"/>
      <c r="F35" s="7"/>
      <c r="G35" s="7"/>
      <c r="H35" s="7"/>
      <c r="I35" s="7"/>
      <c r="J35" s="7"/>
      <c r="K35" s="7"/>
      <c r="L35" s="7"/>
      <c r="M35" s="8"/>
    </row>
    <row r="36" customFormat="false" ht="15" hidden="false" customHeight="false" outlineLevel="0" collapsed="false">
      <c r="A36" s="7"/>
      <c r="B36" s="7"/>
      <c r="C36" s="7"/>
      <c r="D36" s="8"/>
      <c r="E36" s="7"/>
      <c r="F36" s="7"/>
      <c r="G36" s="7"/>
      <c r="H36" s="7"/>
      <c r="I36" s="7"/>
      <c r="J36" s="7"/>
      <c r="K36" s="7"/>
      <c r="L36" s="7"/>
      <c r="M36" s="8"/>
    </row>
    <row r="37" customFormat="false" ht="15" hidden="false" customHeight="false" outlineLevel="0" collapsed="false">
      <c r="A37" s="7"/>
      <c r="B37" s="7"/>
      <c r="C37" s="7"/>
      <c r="D37" s="8"/>
      <c r="E37" s="7"/>
      <c r="F37" s="7"/>
      <c r="G37" s="7"/>
      <c r="H37" s="7"/>
      <c r="I37" s="7"/>
      <c r="J37" s="7"/>
      <c r="K37" s="7"/>
      <c r="L37" s="7"/>
      <c r="M37" s="8"/>
    </row>
    <row r="38" customFormat="false" ht="15" hidden="false" customHeight="false" outlineLevel="0" collapsed="false">
      <c r="A38" s="7"/>
      <c r="B38" s="7"/>
      <c r="C38" s="7"/>
      <c r="D38" s="8"/>
      <c r="E38" s="7"/>
      <c r="F38" s="7"/>
      <c r="G38" s="7"/>
      <c r="H38" s="7"/>
      <c r="I38" s="7"/>
      <c r="J38" s="7"/>
      <c r="K38" s="7"/>
      <c r="L38" s="7"/>
      <c r="M38" s="8"/>
    </row>
    <row r="39" customFormat="false" ht="15" hidden="false" customHeight="false" outlineLevel="0" collapsed="false">
      <c r="A39" s="7"/>
      <c r="B39" s="7"/>
      <c r="C39" s="7"/>
      <c r="D39" s="8"/>
      <c r="E39" s="7"/>
      <c r="F39" s="7"/>
      <c r="G39" s="7"/>
      <c r="H39" s="7"/>
      <c r="I39" s="7"/>
      <c r="J39" s="7"/>
      <c r="K39" s="7"/>
      <c r="L39" s="7"/>
      <c r="M39" s="8"/>
    </row>
    <row r="40" customFormat="false" ht="15" hidden="false" customHeight="false" outlineLevel="0" collapsed="false">
      <c r="A40" s="7"/>
      <c r="B40" s="7"/>
      <c r="C40" s="7"/>
      <c r="D40" s="8"/>
      <c r="E40" s="7"/>
      <c r="F40" s="7"/>
      <c r="G40" s="7"/>
      <c r="H40" s="7"/>
      <c r="I40" s="7"/>
      <c r="J40" s="7"/>
      <c r="K40" s="7"/>
      <c r="L40" s="7"/>
      <c r="M40" s="8"/>
    </row>
  </sheetData>
  <dataValidations count="2">
    <dataValidation allowBlank="true" errorStyle="stop" operator="between" showDropDown="false" showErrorMessage="false" showInputMessage="false" sqref="H2:H40 J2:L40" type="list">
      <formula1>"Sim,Não"</formula1>
      <formula2>0</formula2>
    </dataValidation>
    <dataValidation allowBlank="true" errorStyle="stop" operator="between" showDropDown="false" showErrorMessage="false" showInputMessage="false" sqref="G2:G40 I2:I40" type="list">
      <formula1>"Sim,Não,N/A"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16.15" hidden="false" customHeight="false" outlineLevel="0" collapsed="false">
      <c r="A1" s="1" t="s">
        <v>35</v>
      </c>
    </row>
    <row r="3" customFormat="false" ht="15" hidden="false" customHeight="false" outlineLevel="0" collapsed="false">
      <c r="A3" s="3" t="s">
        <v>36</v>
      </c>
    </row>
    <row r="4" customFormat="false" ht="30" hidden="false" customHeight="true" outlineLevel="0" collapsed="false">
      <c r="A4" s="4" t="s">
        <v>16</v>
      </c>
      <c r="B4" s="4" t="s">
        <v>37</v>
      </c>
      <c r="C4" s="4" t="s">
        <v>38</v>
      </c>
      <c r="D4" s="4" t="s">
        <v>39</v>
      </c>
      <c r="E4" s="4" t="s">
        <v>40</v>
      </c>
    </row>
    <row r="5" customFormat="false" ht="15" hidden="false" customHeight="false" outlineLevel="0" collapsed="false">
      <c r="A5" s="9"/>
      <c r="B5" s="10" t="str">
        <f aca="false">IF($A5="","—",COUNTIF(Julgamento!$A$3:$A$200,$A5))</f>
        <v>—</v>
      </c>
      <c r="C5" s="10" t="str">
        <f aca="false">IF($A5="","—",COUNTIFS(Julgamento!$A$3:$A$200,$A5,Julgamento!$L$3:$L$200,"Sim"))</f>
        <v>—</v>
      </c>
      <c r="D5" s="10" t="str">
        <f aca="false">IF($A5="","—",IF(COUNTIFS(Julgamento!$A$3:$A$200,$A5,Julgamento!$L$3:$L$200,"Sim")&gt;0,"Sim","Não"))</f>
        <v>—</v>
      </c>
      <c r="E5" s="10" t="str">
        <f aca="false">IF($A5="","—",IF(COUNTIFS(Julgamento!$A$3:$A$200,$A5,Julgamento!$B$3:$B$200,1,Julgamento!$H$3:$H$200,"Não")&gt;0,"Sim","Não"))</f>
        <v>—</v>
      </c>
    </row>
    <row r="6" customFormat="false" ht="15" hidden="false" customHeight="false" outlineLevel="0" collapsed="false">
      <c r="A6" s="9"/>
      <c r="B6" s="10" t="str">
        <f aca="false">IF($A6="","—",COUNTIF(Julgamento!$A$3:$A$200,$A6))</f>
        <v>—</v>
      </c>
      <c r="C6" s="10" t="str">
        <f aca="false">IF($A6="","—",COUNTIFS(Julgamento!$A$3:$A$200,$A6,Julgamento!$L$3:$L$200,"Sim"))</f>
        <v>—</v>
      </c>
      <c r="D6" s="10" t="str">
        <f aca="false">IF($A6="","—",IF(COUNTIFS(Julgamento!$A$3:$A$200,$A6,Julgamento!$L$3:$L$200,"Sim")&gt;0,"Sim","Não"))</f>
        <v>—</v>
      </c>
      <c r="E6" s="10" t="str">
        <f aca="false">IF($A6="","—",IF(COUNTIFS(Julgamento!$A$3:$A$200,$A6,Julgamento!$B$3:$B$200,1,Julgamento!$H$3:$H$200,"Não")&gt;0,"Sim","Não"))</f>
        <v>—</v>
      </c>
    </row>
    <row r="7" customFormat="false" ht="15" hidden="false" customHeight="false" outlineLevel="0" collapsed="false">
      <c r="A7" s="9"/>
      <c r="B7" s="10" t="str">
        <f aca="false">IF($A7="","—",COUNTIF(Julgamento!$A$3:$A$200,$A7))</f>
        <v>—</v>
      </c>
      <c r="C7" s="10" t="str">
        <f aca="false">IF($A7="","—",COUNTIFS(Julgamento!$A$3:$A$200,$A7,Julgamento!$L$3:$L$200,"Sim"))</f>
        <v>—</v>
      </c>
      <c r="D7" s="10" t="str">
        <f aca="false">IF($A7="","—",IF(COUNTIFS(Julgamento!$A$3:$A$200,$A7,Julgamento!$L$3:$L$200,"Sim")&gt;0,"Sim","Não"))</f>
        <v>—</v>
      </c>
      <c r="E7" s="10" t="str">
        <f aca="false">IF($A7="","—",IF(COUNTIFS(Julgamento!$A$3:$A$200,$A7,Julgamento!$B$3:$B$200,1,Julgamento!$H$3:$H$200,"Não")&gt;0,"Sim","Não"))</f>
        <v>—</v>
      </c>
    </row>
    <row r="8" customFormat="false" ht="15" hidden="false" customHeight="false" outlineLevel="0" collapsed="false">
      <c r="A8" s="9"/>
      <c r="B8" s="10" t="str">
        <f aca="false">IF($A8="","—",COUNTIF(Julgamento!$A$3:$A$200,$A8))</f>
        <v>—</v>
      </c>
      <c r="C8" s="10" t="str">
        <f aca="false">IF($A8="","—",COUNTIFS(Julgamento!$A$3:$A$200,$A8,Julgamento!$L$3:$L$200,"Sim"))</f>
        <v>—</v>
      </c>
      <c r="D8" s="10" t="str">
        <f aca="false">IF($A8="","—",IF(COUNTIFS(Julgamento!$A$3:$A$200,$A8,Julgamento!$L$3:$L$200,"Sim")&gt;0,"Sim","Não"))</f>
        <v>—</v>
      </c>
      <c r="E8" s="10" t="str">
        <f aca="false">IF($A8="","—",IF(COUNTIFS(Julgamento!$A$3:$A$200,$A8,Julgamento!$B$3:$B$200,1,Julgamento!$H$3:$H$200,"Não")&gt;0,"Sim","Não"))</f>
        <v>—</v>
      </c>
    </row>
    <row r="9" customFormat="false" ht="15" hidden="false" customHeight="false" outlineLevel="0" collapsed="false">
      <c r="A9" s="9"/>
      <c r="B9" s="10" t="str">
        <f aca="false">IF($A9="","—",COUNTIF(Julgamento!$A$3:$A$200,$A9))</f>
        <v>—</v>
      </c>
      <c r="C9" s="10" t="str">
        <f aca="false">IF($A9="","—",COUNTIFS(Julgamento!$A$3:$A$200,$A9,Julgamento!$L$3:$L$200,"Sim"))</f>
        <v>—</v>
      </c>
      <c r="D9" s="10" t="str">
        <f aca="false">IF($A9="","—",IF(COUNTIFS(Julgamento!$A$3:$A$200,$A9,Julgamento!$L$3:$L$200,"Sim")&gt;0,"Sim","Não"))</f>
        <v>—</v>
      </c>
      <c r="E9" s="10" t="str">
        <f aca="false">IF($A9="","—",IF(COUNTIFS(Julgamento!$A$3:$A$200,$A9,Julgamento!$B$3:$B$200,1,Julgamento!$H$3:$H$200,"Não")&gt;0,"Sim","Não"))</f>
        <v>—</v>
      </c>
    </row>
    <row r="10" customFormat="false" ht="15" hidden="false" customHeight="false" outlineLevel="0" collapsed="false">
      <c r="A10" s="9"/>
      <c r="B10" s="10" t="str">
        <f aca="false">IF($A10="","—",COUNTIF(Julgamento!$A$3:$A$200,$A10))</f>
        <v>—</v>
      </c>
      <c r="C10" s="10" t="str">
        <f aca="false">IF($A10="","—",COUNTIFS(Julgamento!$A$3:$A$200,$A10,Julgamento!$L$3:$L$200,"Sim"))</f>
        <v>—</v>
      </c>
      <c r="D10" s="10" t="str">
        <f aca="false">IF($A10="","—",IF(COUNTIFS(Julgamento!$A$3:$A$200,$A10,Julgamento!$L$3:$L$200,"Sim")&gt;0,"Sim","Não"))</f>
        <v>—</v>
      </c>
      <c r="E10" s="10" t="str">
        <f aca="false">IF($A10="","—",IF(COUNTIFS(Julgamento!$A$3:$A$200,$A10,Julgamento!$B$3:$B$200,1,Julgamento!$H$3:$H$200,"Não")&gt;0,"Sim","Não"))</f>
        <v>—</v>
      </c>
    </row>
    <row r="11" customFormat="false" ht="15" hidden="false" customHeight="false" outlineLevel="0" collapsed="false">
      <c r="A11" s="9"/>
      <c r="B11" s="10" t="str">
        <f aca="false">IF($A11="","—",COUNTIF(Julgamento!$A$3:$A$200,$A11))</f>
        <v>—</v>
      </c>
      <c r="C11" s="10" t="str">
        <f aca="false">IF($A11="","—",COUNTIFS(Julgamento!$A$3:$A$200,$A11,Julgamento!$L$3:$L$200,"Sim"))</f>
        <v>—</v>
      </c>
      <c r="D11" s="10" t="str">
        <f aca="false">IF($A11="","—",IF(COUNTIFS(Julgamento!$A$3:$A$200,$A11,Julgamento!$L$3:$L$200,"Sim")&gt;0,"Sim","Não"))</f>
        <v>—</v>
      </c>
      <c r="E11" s="10" t="str">
        <f aca="false">IF($A11="","—",IF(COUNTIFS(Julgamento!$A$3:$A$200,$A11,Julgamento!$B$3:$B$200,1,Julgamento!$H$3:$H$200,"Não")&gt;0,"Sim","Não"))</f>
        <v>—</v>
      </c>
    </row>
    <row r="12" customFormat="false" ht="15" hidden="false" customHeight="false" outlineLevel="0" collapsed="false">
      <c r="A12" s="9"/>
      <c r="B12" s="10" t="str">
        <f aca="false">IF($A12="","—",COUNTIF(Julgamento!$A$3:$A$200,$A12))</f>
        <v>—</v>
      </c>
      <c r="C12" s="10" t="str">
        <f aca="false">IF($A12="","—",COUNTIFS(Julgamento!$A$3:$A$200,$A12,Julgamento!$L$3:$L$200,"Sim"))</f>
        <v>—</v>
      </c>
      <c r="D12" s="10" t="str">
        <f aca="false">IF($A12="","—",IF(COUNTIFS(Julgamento!$A$3:$A$200,$A12,Julgamento!$L$3:$L$200,"Sim")&gt;0,"Sim","Não"))</f>
        <v>—</v>
      </c>
      <c r="E12" s="10" t="str">
        <f aca="false">IF($A12="","—",IF(COUNTIFS(Julgamento!$A$3:$A$200,$A12,Julgamento!$B$3:$B$200,1,Julgamento!$H$3:$H$200,"Não")&gt;0,"Sim","Não"))</f>
        <v>—</v>
      </c>
    </row>
    <row r="13" customFormat="false" ht="15" hidden="false" customHeight="false" outlineLevel="0" collapsed="false">
      <c r="A13" s="9"/>
      <c r="B13" s="10" t="str">
        <f aca="false">IF($A13="","—",COUNTIF(Julgamento!$A$3:$A$200,$A13))</f>
        <v>—</v>
      </c>
      <c r="C13" s="10" t="str">
        <f aca="false">IF($A13="","—",COUNTIFS(Julgamento!$A$3:$A$200,$A13,Julgamento!$L$3:$L$200,"Sim"))</f>
        <v>—</v>
      </c>
      <c r="D13" s="10" t="str">
        <f aca="false">IF($A13="","—",IF(COUNTIFS(Julgamento!$A$3:$A$200,$A13,Julgamento!$L$3:$L$200,"Sim")&gt;0,"Sim","Não"))</f>
        <v>—</v>
      </c>
      <c r="E13" s="10" t="str">
        <f aca="false">IF($A13="","—",IF(COUNTIFS(Julgamento!$A$3:$A$200,$A13,Julgamento!$B$3:$B$200,1,Julgamento!$H$3:$H$200,"Não")&gt;0,"Sim","Não"))</f>
        <v>—</v>
      </c>
    </row>
    <row r="14" customFormat="false" ht="15" hidden="false" customHeight="false" outlineLevel="0" collapsed="false">
      <c r="A14" s="9"/>
      <c r="B14" s="10" t="str">
        <f aca="false">IF($A14="","—",COUNTIF(Julgamento!$A$3:$A$200,$A14))</f>
        <v>—</v>
      </c>
      <c r="C14" s="10" t="str">
        <f aca="false">IF($A14="","—",COUNTIFS(Julgamento!$A$3:$A$200,$A14,Julgamento!$L$3:$L$200,"Sim"))</f>
        <v>—</v>
      </c>
      <c r="D14" s="10" t="str">
        <f aca="false">IF($A14="","—",IF(COUNTIFS(Julgamento!$A$3:$A$200,$A14,Julgamento!$L$3:$L$200,"Sim")&gt;0,"Sim","Não"))</f>
        <v>—</v>
      </c>
      <c r="E14" s="10" t="str">
        <f aca="false">IF($A14="","—",IF(COUNTIFS(Julgamento!$A$3:$A$200,$A14,Julgamento!$B$3:$B$200,1,Julgamento!$H$3:$H$200,"Não")&gt;0,"Sim","Não"))</f>
        <v>—</v>
      </c>
    </row>
    <row r="16" customFormat="false" ht="15" hidden="false" customHeight="false" outlineLevel="0" collapsed="false">
      <c r="A16" s="3" t="s">
        <v>41</v>
      </c>
    </row>
    <row r="17" customFormat="false" ht="15" hidden="false" customHeight="false" outlineLevel="0" collapsed="false">
      <c r="A17" s="2" t="s">
        <v>42</v>
      </c>
      <c r="B17" s="11" t="n">
        <f aca="false">COUNTA(A5:A14)</f>
        <v>0</v>
      </c>
    </row>
    <row r="18" customFormat="false" ht="15" hidden="false" customHeight="false" outlineLevel="0" collapsed="false">
      <c r="A18" s="2" t="s">
        <v>43</v>
      </c>
      <c r="B18" s="11" t="n">
        <f aca="false">COUNTIF(D5:D14,"Sim")</f>
        <v>0</v>
      </c>
    </row>
    <row r="19" customFormat="false" ht="15" hidden="false" customHeight="false" outlineLevel="0" collapsed="false">
      <c r="A19" s="2" t="s">
        <v>44</v>
      </c>
      <c r="B19" s="12" t="str">
        <f aca="false">IFERROR(B18/B17,"—")</f>
        <v>—</v>
      </c>
    </row>
    <row r="20" customFormat="false" ht="15" hidden="false" customHeight="false" outlineLevel="0" collapsed="false">
      <c r="A20" s="2" t="s">
        <v>45</v>
      </c>
      <c r="B20" s="11" t="n">
        <f aca="false">COUNTIF(E5:E14,"Sim")</f>
        <v>0</v>
      </c>
    </row>
    <row r="21" customFormat="false" ht="15" hidden="false" customHeight="false" outlineLevel="0" collapsed="false">
      <c r="A21" s="2" t="s">
        <v>46</v>
      </c>
      <c r="B21" s="13" t="str">
        <f aca="false">IFERROR(AVERAGEIFS(Julgamento!E3:E200,Julgamento!L3:L200,"Sim"),"—")</f>
        <v>—</v>
      </c>
    </row>
    <row r="22" customFormat="false" ht="15" hidden="false" customHeight="false" outlineLevel="0" collapsed="false">
      <c r="A22" s="2" t="s">
        <v>47</v>
      </c>
      <c r="B22" s="13" t="str">
        <f aca="false">IFERROR(AVERAGEIFS(Julgamento!E3:E200,Julgamento!L3:L200,"Não"),"—")</f>
        <v>—</v>
      </c>
    </row>
    <row r="24" customFormat="false" ht="15" hidden="false" customHeight="false" outlineLevel="0" collapsed="false">
      <c r="A24" s="3" t="s">
        <v>48</v>
      </c>
    </row>
    <row r="25" customFormat="false" ht="15" hidden="false" customHeight="false" outlineLevel="0" collapsed="false">
      <c r="A25" s="2" t="s">
        <v>49</v>
      </c>
      <c r="B25" s="14" t="n">
        <v>0.8</v>
      </c>
    </row>
    <row r="26" customFormat="false" ht="15" hidden="false" customHeight="false" outlineLevel="0" collapsed="false">
      <c r="A26" s="2" t="s">
        <v>50</v>
      </c>
      <c r="B26" s="15" t="n">
        <v>0</v>
      </c>
    </row>
    <row r="28" customFormat="false" ht="30" hidden="false" customHeight="true" outlineLevel="0" collapsed="false">
      <c r="A28" s="16" t="s">
        <v>51</v>
      </c>
      <c r="B28" s="17" t="str">
        <f aca="false">IF(B17=0,"— (preencha os sermões testados)",IFERROR(IF(AND(B19&gt;=B25,B20&lt;=B26),"VIÁVEL — seguir para a Especificação Funcional","REVISAR — ajustar prompt/modelo antes"),"—"))</f>
        <v>— (preencha os sermões testados)</v>
      </c>
      <c r="C28" s="17"/>
      <c r="D28" s="17"/>
      <c r="E28" s="17"/>
    </row>
    <row r="30" customFormat="false" ht="15" hidden="false" customHeight="false" outlineLevel="0" collapsed="false">
      <c r="A30" s="18" t="s">
        <v>52</v>
      </c>
      <c r="B30" s="18"/>
      <c r="C30" s="18"/>
      <c r="D30" s="18"/>
      <c r="E30" s="18"/>
    </row>
  </sheetData>
  <mergeCells count="2">
    <mergeCell ref="B28:E28"/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2026-07-20T18:15:29Z</dcterms:created>
  <dc:creator>openpyxl</dc:creator>
  <dc:description/>
  <dc:language>en-US</dc:language>
  <cp:lastModifiedBy/>
  <dcterms:modified xsi:type="dcterms:W3CDTF">2026-07-20T18:15:29Z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